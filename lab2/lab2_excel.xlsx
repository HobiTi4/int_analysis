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ЭтаКнига"/>
  <mc:AlternateContent xmlns:mc="http://schemas.openxmlformats.org/markup-compatibility/2006">
    <mc:Choice Requires="x15">
      <x15ac:absPath xmlns:x15ac="http://schemas.microsoft.com/office/spreadsheetml/2010/11/ac" url="https://d.docs.live.net/8ba2df87afb95e00/Desktop/"/>
    </mc:Choice>
  </mc:AlternateContent>
  <xr:revisionPtr revIDLastSave="338" documentId="11_AD4DF75460589B3ACB7284B11FDA74E05BDEDD8F" xr6:coauthVersionLast="47" xr6:coauthVersionMax="47" xr10:uidLastSave="{806DC3CA-96F8-4D24-B60A-44617DEE99B8}"/>
  <bookViews>
    <workbookView xWindow="1360" yWindow="5760" windowWidth="19200" windowHeight="9970" xr2:uid="{00000000-000D-0000-FFFF-FFFF00000000}"/>
  </bookViews>
  <sheets>
    <sheet name="Звіт про стійкість 1" sheetId="4" r:id="rId1"/>
    <sheet name="Аркуш1" sheetId="1" r:id="rId2"/>
  </sheets>
  <definedNames>
    <definedName name="solver_adj" localSheetId="1" hidden="1">Аркуш1!$B$4:$E$4</definedName>
    <definedName name="solver_cvg" localSheetId="1" hidden="1">0.0001</definedName>
    <definedName name="solver_drv" localSheetId="1" hidden="1">1</definedName>
    <definedName name="solver_eng" localSheetId="1" hidden="1">2</definedName>
    <definedName name="solver_est" localSheetId="1" hidden="1">1</definedName>
    <definedName name="solver_itr" localSheetId="1" hidden="1">2147483647</definedName>
    <definedName name="solver_lhs1" localSheetId="1" hidden="1">Аркуш1!$F$8:$F$12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1</definedName>
    <definedName name="solver_nwt" localSheetId="1" hidden="1">1</definedName>
    <definedName name="solver_opt" localSheetId="1" hidden="1">Аркуш1!$B$14</definedName>
    <definedName name="solver_pre" localSheetId="1" hidden="1">0.000001</definedName>
    <definedName name="solver_rbv" localSheetId="1" hidden="1">1</definedName>
    <definedName name="solver_rel1" localSheetId="1" hidden="1">1</definedName>
    <definedName name="solver_rhs1" localSheetId="1" hidden="1">Аркуш1!$H$8:$H$12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F8" i="1"/>
  <c r="F10" i="1"/>
  <c r="F11" i="1"/>
  <c r="F12" i="1"/>
  <c r="B14" i="1"/>
</calcChain>
</file>

<file path=xl/sharedStrings.xml><?xml version="1.0" encoding="utf-8"?>
<sst xmlns="http://schemas.openxmlformats.org/spreadsheetml/2006/main" count="71" uniqueCount="53">
  <si>
    <t>Astro</t>
  </si>
  <si>
    <t>Cosmo</t>
  </si>
  <si>
    <t>Nova</t>
  </si>
  <si>
    <t>Vega</t>
  </si>
  <si>
    <t>План, шт./день</t>
  </si>
  <si>
    <t>Прибуток з одиниці</t>
  </si>
  <si>
    <t>Ресурс</t>
  </si>
  <si>
    <t>Використано</t>
  </si>
  <si>
    <t>Запас</t>
  </si>
  <si>
    <t>Конвеєр A, год</t>
  </si>
  <si>
    <t>≤</t>
  </si>
  <si>
    <t>Конвеєр Б, год</t>
  </si>
  <si>
    <t>Цех кінескопів, год</t>
  </si>
  <si>
    <t>Цех корпусів, год</t>
  </si>
  <si>
    <t>Ділянка збирання, год</t>
  </si>
  <si>
    <t>Прибуток, всього</t>
  </si>
  <si>
    <t>$B$4</t>
  </si>
  <si>
    <t>План, шт./день Astro</t>
  </si>
  <si>
    <t>$C$4</t>
  </si>
  <si>
    <t>План, шт./день Cosmo</t>
  </si>
  <si>
    <t>$D$4</t>
  </si>
  <si>
    <t>План, шт./день Nova</t>
  </si>
  <si>
    <t>$E$4</t>
  </si>
  <si>
    <t>План, шт./день Vega</t>
  </si>
  <si>
    <t>$F$8</t>
  </si>
  <si>
    <t>Конвеєр A, год Використано</t>
  </si>
  <si>
    <t>$F$9</t>
  </si>
  <si>
    <t>Конвеєр Б, год Використано</t>
  </si>
  <si>
    <t>$F$10</t>
  </si>
  <si>
    <t>Цех кінескопів, год Використано</t>
  </si>
  <si>
    <t>$F$11</t>
  </si>
  <si>
    <t>Цех корпусів, год Використано</t>
  </si>
  <si>
    <t>$F$12</t>
  </si>
  <si>
    <t>Ділянка збирання, год Використано</t>
  </si>
  <si>
    <t>Microsoft Excel 16.0 Звіт про стійкість</t>
  </si>
  <si>
    <t>Аркуш: [Новий Microsoft Excel Worksheet.xlsx]Лист1</t>
  </si>
  <si>
    <t>Звіт створено: 27.09.2026 16:25:28</t>
  </si>
  <si>
    <t>Клітинки змінних</t>
  </si>
  <si>
    <t>Клітинка</t>
  </si>
  <si>
    <t>Назва</t>
  </si>
  <si>
    <t>Остаточне</t>
  </si>
  <si>
    <t>Значення</t>
  </si>
  <si>
    <t>Зменшена</t>
  </si>
  <si>
    <t>Вартість</t>
  </si>
  <si>
    <t>Цільова функція</t>
  </si>
  <si>
    <t>Коефіцієнт</t>
  </si>
  <si>
    <t>Припустиме</t>
  </si>
  <si>
    <t>Збільшення</t>
  </si>
  <si>
    <t>Зменшення</t>
  </si>
  <si>
    <t>Обмеження</t>
  </si>
  <si>
    <t>Тінь</t>
  </si>
  <si>
    <t>Ціна</t>
  </si>
  <si>
    <t>Права сторона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</si>
</sst>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1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3" xfId="0" applyFill="1" applyBorder="1" applyAlignment="1"/>
    <xf numFmtId="0" fontId="0" fillId="0" borderId="4" xfId="0" applyFill="1" applyBorder="1" applyAlignment="1"/>
    <xf numFmtId="0" fontId="3" fillId="0" borderId="1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11" fontId="0" fillId="0" borderId="3" xfId="0" applyNumberFormat="1" applyFill="1" applyBorder="1" applyAlignment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1404A-ADE7-4A73-9779-37786AA08A8B}">
  <dimension ref="A1:H21"/>
  <sheetViews>
    <sheetView showGridLines="0" tabSelected="1" workbookViewId="0">
      <selection activeCell="H9" sqref="H9"/>
    </sheetView>
  </sheetViews>
  <sheetFormatPr defaultRowHeight="14.5" x14ac:dyDescent="0.35"/>
  <cols>
    <col min="1" max="1" width="2.1796875" customWidth="1"/>
    <col min="2" max="2" width="8.453125" bestFit="1" customWidth="1"/>
    <col min="3" max="3" width="32" bestFit="1" customWidth="1"/>
    <col min="4" max="5" width="11.81640625" bestFit="1" customWidth="1"/>
    <col min="6" max="6" width="15.1796875" bestFit="1" customWidth="1"/>
    <col min="7" max="7" width="11.453125" bestFit="1" customWidth="1"/>
    <col min="8" max="8" width="11.81640625" bestFit="1" customWidth="1"/>
  </cols>
  <sheetData>
    <row r="1" spans="1:8" x14ac:dyDescent="0.35">
      <c r="A1" s="2" t="s">
        <v>34</v>
      </c>
    </row>
    <row r="2" spans="1:8" x14ac:dyDescent="0.35">
      <c r="A2" s="2" t="s">
        <v>35</v>
      </c>
    </row>
    <row r="3" spans="1:8" x14ac:dyDescent="0.35">
      <c r="A3" s="2" t="s">
        <v>36</v>
      </c>
    </row>
    <row r="6" spans="1:8" ht="15" thickBot="1" x14ac:dyDescent="0.4">
      <c r="A6" t="s">
        <v>37</v>
      </c>
    </row>
    <row r="7" spans="1:8" x14ac:dyDescent="0.35">
      <c r="B7" s="5"/>
      <c r="C7" s="5"/>
      <c r="D7" s="5" t="s">
        <v>40</v>
      </c>
      <c r="E7" s="5" t="s">
        <v>42</v>
      </c>
      <c r="F7" s="5" t="s">
        <v>44</v>
      </c>
      <c r="G7" s="5" t="s">
        <v>46</v>
      </c>
      <c r="H7" s="5" t="s">
        <v>46</v>
      </c>
    </row>
    <row r="8" spans="1:8" ht="15" thickBot="1" x14ac:dyDescent="0.4">
      <c r="B8" s="6" t="s">
        <v>38</v>
      </c>
      <c r="C8" s="6" t="s">
        <v>39</v>
      </c>
      <c r="D8" s="6" t="s">
        <v>41</v>
      </c>
      <c r="E8" s="6" t="s">
        <v>43</v>
      </c>
      <c r="F8" s="6" t="s">
        <v>45</v>
      </c>
      <c r="G8" s="6" t="s">
        <v>47</v>
      </c>
      <c r="H8" s="6" t="s">
        <v>48</v>
      </c>
    </row>
    <row r="9" spans="1:8" x14ac:dyDescent="0.35">
      <c r="B9" s="3" t="s">
        <v>16</v>
      </c>
      <c r="C9" s="3" t="s">
        <v>17</v>
      </c>
      <c r="D9" s="3">
        <v>0</v>
      </c>
      <c r="E9" s="3">
        <v>-65.599999999999994</v>
      </c>
      <c r="F9" s="3">
        <v>21</v>
      </c>
      <c r="G9" s="3">
        <v>65.599999999999994</v>
      </c>
      <c r="H9" s="7">
        <v>1E+30</v>
      </c>
    </row>
    <row r="10" spans="1:8" x14ac:dyDescent="0.35">
      <c r="B10" s="3" t="s">
        <v>18</v>
      </c>
      <c r="C10" s="3" t="s">
        <v>19</v>
      </c>
      <c r="D10" s="3">
        <v>136.66666666666666</v>
      </c>
      <c r="E10" s="3">
        <v>0</v>
      </c>
      <c r="F10" s="3">
        <v>69</v>
      </c>
      <c r="G10" s="3">
        <v>1E+30</v>
      </c>
      <c r="H10" s="3">
        <v>58.3</v>
      </c>
    </row>
    <row r="11" spans="1:8" x14ac:dyDescent="0.35">
      <c r="B11" s="3" t="s">
        <v>20</v>
      </c>
      <c r="C11" s="3" t="s">
        <v>21</v>
      </c>
      <c r="D11" s="3">
        <v>57.666666666666679</v>
      </c>
      <c r="E11" s="3">
        <v>0</v>
      </c>
      <c r="F11" s="3">
        <v>44</v>
      </c>
      <c r="G11" s="3">
        <v>301</v>
      </c>
      <c r="H11" s="3">
        <v>44</v>
      </c>
    </row>
    <row r="12" spans="1:8" ht="15" thickBot="1" x14ac:dyDescent="0.4">
      <c r="B12" s="4" t="s">
        <v>22</v>
      </c>
      <c r="C12" s="4" t="s">
        <v>23</v>
      </c>
      <c r="D12" s="4">
        <v>0</v>
      </c>
      <c r="E12" s="4">
        <v>-116.6</v>
      </c>
      <c r="F12" s="4">
        <v>39</v>
      </c>
      <c r="G12" s="4">
        <v>116.6</v>
      </c>
      <c r="H12" s="4">
        <v>1E+30</v>
      </c>
    </row>
    <row r="14" spans="1:8" ht="15" thickBot="1" x14ac:dyDescent="0.4">
      <c r="A14" t="s">
        <v>49</v>
      </c>
    </row>
    <row r="15" spans="1:8" x14ac:dyDescent="0.35">
      <c r="B15" s="5"/>
      <c r="C15" s="5"/>
      <c r="D15" s="5" t="s">
        <v>40</v>
      </c>
      <c r="E15" s="5" t="s">
        <v>50</v>
      </c>
      <c r="F15" s="5" t="s">
        <v>49</v>
      </c>
      <c r="G15" s="5" t="s">
        <v>46</v>
      </c>
      <c r="H15" s="5" t="s">
        <v>46</v>
      </c>
    </row>
    <row r="16" spans="1:8" ht="15" thickBot="1" x14ac:dyDescent="0.4">
      <c r="B16" s="6" t="s">
        <v>38</v>
      </c>
      <c r="C16" s="6" t="s">
        <v>39</v>
      </c>
      <c r="D16" s="6" t="s">
        <v>41</v>
      </c>
      <c r="E16" s="6" t="s">
        <v>51</v>
      </c>
      <c r="F16" s="6" t="s">
        <v>52</v>
      </c>
      <c r="G16" s="6" t="s">
        <v>47</v>
      </c>
      <c r="H16" s="6" t="s">
        <v>48</v>
      </c>
    </row>
    <row r="17" spans="2:8" x14ac:dyDescent="0.35">
      <c r="B17" s="3" t="s">
        <v>24</v>
      </c>
      <c r="C17" s="3" t="s">
        <v>25</v>
      </c>
      <c r="D17" s="3">
        <v>331</v>
      </c>
      <c r="E17" s="3">
        <v>0</v>
      </c>
      <c r="F17" s="3">
        <v>929</v>
      </c>
      <c r="G17" s="3">
        <v>1E+30</v>
      </c>
      <c r="H17" s="3">
        <v>598.00000000000011</v>
      </c>
    </row>
    <row r="18" spans="2:8" x14ac:dyDescent="0.35">
      <c r="B18" s="3" t="s">
        <v>26</v>
      </c>
      <c r="C18" s="3" t="s">
        <v>27</v>
      </c>
      <c r="D18" s="3">
        <v>410</v>
      </c>
      <c r="E18" s="3">
        <v>20.066666666666666</v>
      </c>
      <c r="F18" s="3">
        <v>410</v>
      </c>
      <c r="G18" s="3">
        <v>22.5</v>
      </c>
      <c r="H18" s="3">
        <v>410</v>
      </c>
    </row>
    <row r="19" spans="2:8" x14ac:dyDescent="0.35">
      <c r="B19" s="3" t="s">
        <v>28</v>
      </c>
      <c r="C19" s="3" t="s">
        <v>29</v>
      </c>
      <c r="D19" s="3">
        <v>410</v>
      </c>
      <c r="E19" s="3">
        <v>0</v>
      </c>
      <c r="F19" s="3">
        <v>507</v>
      </c>
      <c r="G19" s="3">
        <v>1E+30</v>
      </c>
      <c r="H19" s="3">
        <v>97</v>
      </c>
    </row>
    <row r="20" spans="2:8" x14ac:dyDescent="0.35">
      <c r="B20" s="3" t="s">
        <v>30</v>
      </c>
      <c r="C20" s="3" t="s">
        <v>31</v>
      </c>
      <c r="D20" s="3">
        <v>820</v>
      </c>
      <c r="E20" s="3">
        <v>0</v>
      </c>
      <c r="F20" s="3">
        <v>865</v>
      </c>
      <c r="G20" s="3">
        <v>1E+30</v>
      </c>
      <c r="H20" s="3">
        <v>45</v>
      </c>
    </row>
    <row r="21" spans="2:8" ht="15" thickBot="1" x14ac:dyDescent="0.4">
      <c r="B21" s="4" t="s">
        <v>32</v>
      </c>
      <c r="C21" s="4" t="s">
        <v>33</v>
      </c>
      <c r="D21" s="4">
        <v>425</v>
      </c>
      <c r="E21" s="4">
        <v>8.8000000000000007</v>
      </c>
      <c r="F21" s="4">
        <v>425</v>
      </c>
      <c r="G21" s="4">
        <v>2990.0000000000005</v>
      </c>
      <c r="H21" s="4">
        <v>288.33333333333337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2"/>
  <dimension ref="A1:H14"/>
  <sheetViews>
    <sheetView topLeftCell="A2" workbookViewId="0">
      <selection activeCell="F10" sqref="F10"/>
    </sheetView>
  </sheetViews>
  <sheetFormatPr defaultRowHeight="14.5" x14ac:dyDescent="0.35"/>
  <cols>
    <col min="1" max="1" width="24.54296875" customWidth="1"/>
  </cols>
  <sheetData>
    <row r="1" spans="1:8" x14ac:dyDescent="0.35">
      <c r="A1" s="1"/>
      <c r="B1" s="1"/>
      <c r="C1" s="1"/>
      <c r="D1" s="1"/>
      <c r="E1" s="1"/>
      <c r="F1" s="1"/>
      <c r="G1" s="1"/>
      <c r="H1" s="1"/>
    </row>
    <row r="2" spans="1:8" x14ac:dyDescent="0.35">
      <c r="A2" s="1"/>
      <c r="B2" s="1"/>
      <c r="C2" s="1"/>
      <c r="D2" s="1"/>
      <c r="E2" s="1"/>
      <c r="F2" s="1"/>
      <c r="G2" s="1"/>
      <c r="H2" s="1"/>
    </row>
    <row r="3" spans="1:8" x14ac:dyDescent="0.35">
      <c r="A3" s="1"/>
      <c r="B3" s="1" t="s">
        <v>0</v>
      </c>
      <c r="C3" s="1" t="s">
        <v>1</v>
      </c>
      <c r="D3" s="1" t="s">
        <v>2</v>
      </c>
      <c r="E3" s="1" t="s">
        <v>3</v>
      </c>
      <c r="F3" s="1"/>
      <c r="G3" s="1"/>
      <c r="H3" s="1"/>
    </row>
    <row r="4" spans="1:8" x14ac:dyDescent="0.35">
      <c r="A4" s="1" t="s">
        <v>4</v>
      </c>
      <c r="B4" s="1">
        <v>0</v>
      </c>
      <c r="C4" s="1">
        <v>136.66666666666666</v>
      </c>
      <c r="D4" s="1">
        <v>57.666666666666679</v>
      </c>
      <c r="E4" s="1">
        <v>0</v>
      </c>
      <c r="F4" s="1"/>
      <c r="G4" s="1"/>
      <c r="H4" s="1"/>
    </row>
    <row r="5" spans="1:8" x14ac:dyDescent="0.35">
      <c r="A5" s="1" t="s">
        <v>5</v>
      </c>
      <c r="B5" s="1">
        <v>21</v>
      </c>
      <c r="C5" s="1">
        <v>69</v>
      </c>
      <c r="D5" s="1">
        <v>44</v>
      </c>
      <c r="E5" s="1">
        <v>39</v>
      </c>
      <c r="F5" s="1"/>
      <c r="G5" s="1"/>
      <c r="H5" s="1"/>
    </row>
    <row r="6" spans="1:8" x14ac:dyDescent="0.35">
      <c r="A6" s="1"/>
      <c r="B6" s="1"/>
      <c r="C6" s="1"/>
      <c r="D6" s="1"/>
      <c r="E6" s="1"/>
      <c r="F6" s="1"/>
      <c r="G6" s="1"/>
      <c r="H6" s="1"/>
    </row>
    <row r="7" spans="1:8" x14ac:dyDescent="0.35">
      <c r="A7" s="1" t="s">
        <v>6</v>
      </c>
      <c r="B7" s="1" t="s">
        <v>0</v>
      </c>
      <c r="C7" s="1" t="s">
        <v>1</v>
      </c>
      <c r="D7" s="1" t="s">
        <v>2</v>
      </c>
      <c r="E7" s="1" t="s">
        <v>3</v>
      </c>
      <c r="F7" s="1" t="s">
        <v>7</v>
      </c>
      <c r="G7" s="1"/>
      <c r="H7" s="1" t="s">
        <v>8</v>
      </c>
    </row>
    <row r="8" spans="1:8" x14ac:dyDescent="0.35">
      <c r="A8" s="1" t="s">
        <v>9</v>
      </c>
      <c r="B8" s="1">
        <v>0</v>
      </c>
      <c r="C8" s="1">
        <v>2</v>
      </c>
      <c r="D8" s="1">
        <v>1</v>
      </c>
      <c r="E8" s="1">
        <v>1</v>
      </c>
      <c r="F8" s="1">
        <f>SUMPRODUCT(B8:E8,$B$4:$E$4)</f>
        <v>331</v>
      </c>
      <c r="G8" s="1" t="s">
        <v>10</v>
      </c>
      <c r="H8" s="1">
        <v>929</v>
      </c>
    </row>
    <row r="9" spans="1:8" x14ac:dyDescent="0.35">
      <c r="A9" s="1" t="s">
        <v>11</v>
      </c>
      <c r="B9" s="1">
        <v>3</v>
      </c>
      <c r="C9" s="1">
        <v>3</v>
      </c>
      <c r="D9" s="1">
        <v>0</v>
      </c>
      <c r="E9" s="1">
        <v>6</v>
      </c>
      <c r="F9" s="1">
        <f>SUMPRODUCT(B9:E9,$B$4:$E$4)</f>
        <v>410</v>
      </c>
      <c r="G9" s="1" t="s">
        <v>10</v>
      </c>
      <c r="H9" s="1">
        <v>410</v>
      </c>
    </row>
    <row r="10" spans="1:8" x14ac:dyDescent="0.35">
      <c r="A10" s="1" t="s">
        <v>12</v>
      </c>
      <c r="B10" s="1">
        <v>2</v>
      </c>
      <c r="C10" s="1">
        <v>3</v>
      </c>
      <c r="D10" s="1">
        <v>0</v>
      </c>
      <c r="E10" s="1">
        <v>2</v>
      </c>
      <c r="F10" s="1">
        <f t="shared" ref="F9:F12" si="0">SUMPRODUCT(B10:E10,$B$4:$E$4)</f>
        <v>410</v>
      </c>
      <c r="G10" s="1" t="s">
        <v>10</v>
      </c>
      <c r="H10" s="1">
        <v>507</v>
      </c>
    </row>
    <row r="11" spans="1:8" x14ac:dyDescent="0.35">
      <c r="A11" s="1" t="s">
        <v>13</v>
      </c>
      <c r="B11" s="1">
        <v>4</v>
      </c>
      <c r="C11" s="1">
        <v>6</v>
      </c>
      <c r="D11" s="1">
        <v>0</v>
      </c>
      <c r="E11" s="1">
        <v>5</v>
      </c>
      <c r="F11" s="1">
        <f t="shared" si="0"/>
        <v>820</v>
      </c>
      <c r="G11" s="1" t="s">
        <v>10</v>
      </c>
      <c r="H11" s="1">
        <v>865</v>
      </c>
    </row>
    <row r="12" spans="1:8" x14ac:dyDescent="0.35">
      <c r="A12" s="1" t="s">
        <v>14</v>
      </c>
      <c r="B12" s="1">
        <v>3</v>
      </c>
      <c r="C12" s="1">
        <v>1</v>
      </c>
      <c r="D12" s="1">
        <v>5</v>
      </c>
      <c r="E12" s="1">
        <v>4</v>
      </c>
      <c r="F12" s="1">
        <f t="shared" si="0"/>
        <v>425</v>
      </c>
      <c r="G12" s="1" t="s">
        <v>10</v>
      </c>
      <c r="H12" s="1">
        <v>425</v>
      </c>
    </row>
    <row r="13" spans="1:8" x14ac:dyDescent="0.35">
      <c r="A13" s="1"/>
      <c r="B13" s="1"/>
      <c r="C13" s="1"/>
      <c r="D13" s="1"/>
      <c r="E13" s="1"/>
      <c r="F13" s="1"/>
      <c r="G13" s="1"/>
      <c r="H13" s="1"/>
    </row>
    <row r="14" spans="1:8" x14ac:dyDescent="0.35">
      <c r="A14" s="1" t="s">
        <v>15</v>
      </c>
      <c r="B14">
        <f>SUMPRODUCT(B5:E5,B4:E4)</f>
        <v>11967.333333333334</v>
      </c>
      <c r="C14" s="1"/>
      <c r="D14" s="1"/>
      <c r="E14" s="1"/>
      <c r="F14" s="1"/>
      <c r="G14" s="1"/>
      <c r="H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Звіт про стійкість 1</vt:lpstr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masar</dc:creator>
  <cp:lastModifiedBy>masarati01ua@gmail.com</cp:lastModifiedBy>
  <dcterms:created xsi:type="dcterms:W3CDTF">2015-06-05T18:19:34Z</dcterms:created>
  <dcterms:modified xsi:type="dcterms:W3CDTF">2026-09-27T14:07:04Z</dcterms:modified>
</cp:coreProperties>
</file>